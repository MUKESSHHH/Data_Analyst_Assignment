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768" yWindow="420" windowWidth="10212" windowHeight="5316" activeTab="1"/>
  </bookViews>
  <sheets>
    <sheet name="ticket" sheetId="1" r:id="rId1"/>
    <sheet name="feedbacks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G3" i="1" l="1"/>
  <c r="G4" i="1"/>
  <c r="G5" i="1"/>
  <c r="G6" i="1"/>
  <c r="G2" i="1"/>
  <c r="F3" i="1"/>
  <c r="F4" i="1"/>
  <c r="F5" i="1"/>
  <c r="F6" i="1"/>
  <c r="F2" i="1"/>
  <c r="D2" i="2"/>
  <c r="D3" i="2"/>
  <c r="D4" i="2"/>
</calcChain>
</file>

<file path=xl/sharedStrings.xml><?xml version="1.0" encoding="utf-8"?>
<sst xmlns="http://schemas.openxmlformats.org/spreadsheetml/2006/main" count="29" uniqueCount="23">
  <si>
    <t>ticket_id</t>
  </si>
  <si>
    <t>created_at</t>
  </si>
  <si>
    <t>closed_at</t>
  </si>
  <si>
    <t>outlet_id</t>
  </si>
  <si>
    <t>cms_id</t>
  </si>
  <si>
    <t>TKT-001</t>
  </si>
  <si>
    <t>OUT-A</t>
  </si>
  <si>
    <t>CMS-101</t>
  </si>
  <si>
    <t>TKT-002</t>
  </si>
  <si>
    <t>OUT-B</t>
  </si>
  <si>
    <t>CMS-102</t>
  </si>
  <si>
    <t>TKT-003</t>
  </si>
  <si>
    <t>CMS-103</t>
  </si>
  <si>
    <t>TKT-004</t>
  </si>
  <si>
    <t>OUT-C</t>
  </si>
  <si>
    <t>CMS-104</t>
  </si>
  <si>
    <t>TKT-005</t>
  </si>
  <si>
    <t>CMS-105</t>
  </si>
  <si>
    <t>feedback_at</t>
  </si>
  <si>
    <t>feedback_rating</t>
  </si>
  <si>
    <t>ticket_created_at</t>
  </si>
  <si>
    <t>Same Day?</t>
  </si>
  <si>
    <t>Same Hour?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</si>
</sst>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0" formatCode="yyyy/mm/dd\ hh:mm:ss"/>
  </numFmts>
  <fonts count="3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7">
    <xf numFmtId="0" fontId="0" fillId="0" borderId="0" xfId="0"/>
    <xf numFmtId="22" fontId="0" fillId="0" borderId="0" xfId="0" applyNumberFormat="1"/>
    <xf numFmtId="0" fontId="2" fillId="0" borderId="0" xfId="0" applyFont="1"/>
    <xf numFmtId="0" fontId="1" fillId="2" borderId="1" xfId="1"/>
    <xf numFmtId="0" fontId="1" fillId="2" borderId="1" xfId="1" applyAlignment="1">
      <alignment horizontal="left" vertical="center" wrapText="1" indent="1" readingOrder="1"/>
    </xf>
    <xf numFmtId="22" fontId="1" fillId="2" borderId="1" xfId="1" applyNumberFormat="1" applyAlignment="1">
      <alignment horizontal="left" vertical="center" wrapText="1" indent="1" readingOrder="1"/>
    </xf>
    <xf numFmtId="170" fontId="1" fillId="2" borderId="1" xfId="1" applyNumberFormat="1" applyAlignment="1">
      <alignment horizontal="left" vertical="center" wrapText="1" indent="1" readingOrder="1"/>
    </xf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G5" sqref="G5"/>
    </sheetView>
  </sheetViews>
  <sheetFormatPr defaultRowHeight="14.4" x14ac:dyDescent="0.3"/>
  <cols>
    <col min="1" max="1" width="10.5546875" bestFit="1" customWidth="1"/>
    <col min="2" max="3" width="18.33203125" bestFit="1" customWidth="1"/>
    <col min="4" max="5" width="10.77734375" bestFit="1" customWidth="1"/>
    <col min="6" max="6" width="10.21875" bestFit="1" customWidth="1"/>
    <col min="7" max="7" width="10.77734375" bestFit="1" customWidth="1"/>
  </cols>
  <sheetData>
    <row r="1" spans="1:7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21</v>
      </c>
      <c r="G1" s="3" t="s">
        <v>22</v>
      </c>
    </row>
    <row r="2" spans="1:7" x14ac:dyDescent="0.3">
      <c r="A2" s="3" t="s">
        <v>5</v>
      </c>
      <c r="B2" s="3">
        <v>45616.4375</v>
      </c>
      <c r="C2" s="3">
        <v>45616.489583333336</v>
      </c>
      <c r="D2" s="3" t="s">
        <v>6</v>
      </c>
      <c r="E2" s="3" t="s">
        <v>7</v>
      </c>
      <c r="F2" s="3">
        <f>IF(INT(B2)=INT(C2), 1, 0)</f>
        <v>1</v>
      </c>
      <c r="G2" s="3">
        <f>IF(AND(INT(B2)=INT(C2), HOUR(B2)=HOUR(C2)), 1, 0)</f>
        <v>0</v>
      </c>
    </row>
    <row r="3" spans="1:7" x14ac:dyDescent="0.3">
      <c r="A3" s="3" t="s">
        <v>8</v>
      </c>
      <c r="B3" s="3">
        <v>45617.625</v>
      </c>
      <c r="C3" s="3">
        <v>45617.625</v>
      </c>
      <c r="D3" s="3" t="s">
        <v>9</v>
      </c>
      <c r="E3" s="3" t="s">
        <v>10</v>
      </c>
      <c r="F3" s="3">
        <f t="shared" ref="F3:F6" si="0">IF(INT(B3)=INT(C3), 1, 0)</f>
        <v>1</v>
      </c>
      <c r="G3" s="3">
        <f t="shared" ref="G3:G6" si="1">IF(AND(INT(B3)=INT(C3), HOUR(B3)=HOUR(C3)), 1, 0)</f>
        <v>1</v>
      </c>
    </row>
    <row r="4" spans="1:7" ht="29.4" customHeight="1" x14ac:dyDescent="0.3">
      <c r="A4" s="3" t="s">
        <v>11</v>
      </c>
      <c r="B4" s="3">
        <v>45617.385416666664</v>
      </c>
      <c r="C4" s="3">
        <v>45618.4375</v>
      </c>
      <c r="D4" s="3" t="s">
        <v>6</v>
      </c>
      <c r="E4" s="3" t="s">
        <v>12</v>
      </c>
      <c r="F4" s="3">
        <f t="shared" si="0"/>
        <v>0</v>
      </c>
      <c r="G4" s="3">
        <f t="shared" si="1"/>
        <v>0</v>
      </c>
    </row>
    <row r="5" spans="1:7" x14ac:dyDescent="0.3">
      <c r="A5" s="3" t="s">
        <v>13</v>
      </c>
      <c r="B5" s="3">
        <v>45627.583333333336</v>
      </c>
      <c r="C5" s="3">
        <v>45627.59375</v>
      </c>
      <c r="D5" s="3" t="s">
        <v>14</v>
      </c>
      <c r="E5" s="3" t="s">
        <v>15</v>
      </c>
      <c r="F5" s="3">
        <f t="shared" si="0"/>
        <v>1</v>
      </c>
      <c r="G5" s="3">
        <f t="shared" si="1"/>
        <v>1</v>
      </c>
    </row>
    <row r="6" spans="1:7" x14ac:dyDescent="0.3">
      <c r="A6" s="3" t="s">
        <v>16</v>
      </c>
      <c r="B6" s="3">
        <v>45627.666666666664</v>
      </c>
      <c r="C6" s="3">
        <v>45628.416666666664</v>
      </c>
      <c r="D6" s="3" t="s">
        <v>9</v>
      </c>
      <c r="E6" s="3" t="s">
        <v>17</v>
      </c>
      <c r="F6" s="3">
        <f t="shared" si="0"/>
        <v>0</v>
      </c>
      <c r="G6" s="3">
        <f t="shared" si="1"/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tabSelected="1" workbookViewId="0">
      <selection activeCell="D1" sqref="D1:D1048576"/>
    </sheetView>
  </sheetViews>
  <sheetFormatPr defaultRowHeight="14.4" x14ac:dyDescent="0.3"/>
  <cols>
    <col min="1" max="1" width="11.5546875" customWidth="1"/>
    <col min="2" max="2" width="18.33203125" bestFit="1" customWidth="1"/>
    <col min="3" max="3" width="18.109375" customWidth="1"/>
    <col min="4" max="4" width="20.44140625" style="1" customWidth="1"/>
    <col min="5" max="5" width="10.21875" bestFit="1" customWidth="1"/>
    <col min="6" max="6" width="11.109375" bestFit="1" customWidth="1"/>
  </cols>
  <sheetData>
    <row r="1" spans="1:6" x14ac:dyDescent="0.3">
      <c r="A1" s="4" t="s">
        <v>4</v>
      </c>
      <c r="B1" s="6" t="s">
        <v>18</v>
      </c>
      <c r="C1" s="4" t="s">
        <v>19</v>
      </c>
      <c r="D1" s="5" t="s">
        <v>20</v>
      </c>
      <c r="E1" s="2"/>
      <c r="F1" s="2"/>
    </row>
    <row r="2" spans="1:6" x14ac:dyDescent="0.3">
      <c r="A2" s="4" t="s">
        <v>7</v>
      </c>
      <c r="B2" s="5">
        <v>45616.541666666664</v>
      </c>
      <c r="C2" s="4">
        <v>5</v>
      </c>
      <c r="D2" s="5">
        <f>INDEX(ticket!B:B, MATCH(A2, ticket!E:E, 0))</f>
        <v>45616.4375</v>
      </c>
    </row>
    <row r="3" spans="1:6" x14ac:dyDescent="0.3">
      <c r="A3" s="4" t="s">
        <v>12</v>
      </c>
      <c r="B3" s="5">
        <v>45618.458333333336</v>
      </c>
      <c r="C3" s="4">
        <v>3</v>
      </c>
      <c r="D3" s="5">
        <f>INDEX(ticket!B:B, MATCH(A3, ticket!E:E, 0))</f>
        <v>45617.385416666664</v>
      </c>
    </row>
    <row r="4" spans="1:6" x14ac:dyDescent="0.3">
      <c r="A4" s="4" t="s">
        <v>15</v>
      </c>
      <c r="B4" s="5">
        <v>45627.625</v>
      </c>
      <c r="C4" s="4">
        <v>4</v>
      </c>
      <c r="D4" s="5">
        <f>INDEX(ticket!B:B, MATCH(A4, ticket!E:E, 0))</f>
        <v>45627.583333333336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ticket</vt:lpstr>
      <vt:lpstr>feedbacks</vt:lpstr>
      <vt:lpstr>Sheet3</vt:lpstr>
    </vt:vector>
  </TitlesOfParts>
  <Company>home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ismail - [2010]</cp:lastModifiedBy>
  <dcterms:created xsi:type="dcterms:W3CDTF">2025-12-02T18:49:12Z</dcterms:created>
  <dcterms:modified xsi:type="dcterms:W3CDTF">2025-12-02T19:14:14Z</dcterms:modified>
</cp:coreProperties>
</file>