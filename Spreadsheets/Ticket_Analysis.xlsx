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ticket" sheetId="1" r:id="rId1"/>
    <sheet name="feedbacks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<sst xmlns="http://schemas.openxmlformats.org/spreadsheetml/2006/main" count="29" uniqueCount="23">
  <si>
    <t>ticket_id</t>
  </si>
  <si>
    <t>created_at</t>
  </si>
  <si>
    <t>closed_at</t>
  </si>
  <si>
    <t>outlet_id</t>
  </si>
  <si>
    <t>cms_id</t>
  </si>
  <si>
    <t>Same Day?</t>
  </si>
  <si>
    <t>Same Hour?</t>
  </si>
  <si>
    <t>TKT-001</t>
  </si>
  <si>
    <t>OUT-A</t>
  </si>
  <si>
    <t>CMS-101</t>
  </si>
  <si>
    <t>TKT-002</t>
  </si>
  <si>
    <t>OUT-B</t>
  </si>
  <si>
    <t>CMS-102</t>
  </si>
  <si>
    <t>TKT-003</t>
  </si>
  <si>
    <t>CMS-103</t>
  </si>
  <si>
    <t>TKT-004</t>
  </si>
  <si>
    <t>OUT-C</t>
  </si>
  <si>
    <t>CMS-104</t>
  </si>
  <si>
    <t>TKT-005</t>
  </si>
  <si>
    <t>CMS-105</t>
  </si>
  <si>
    <t>feedback_at</t>
  </si>
  <si>
    <t>feedback_rating</t>
  </si>
  <si>
    <t>ticket_created_at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</si>
</sst>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  <numFmt numFmtId="181" formatCode="yyyy/mm/dd\ hh:mm:ss"/>
  </numFmts>
  <fonts count="22">
    <font>
      <sz val="11"/>
      <color theme="1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" fillId="2" borderId="1" applyNumberFormat="0" applyAlignment="0" applyProtection="0"/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/>
    <xf numFmtId="180" fontId="0" fillId="0" borderId="0" xfId="0" applyNumberFormat="1"/>
    <xf numFmtId="0" fontId="1" fillId="2" borderId="1" xfId="17" applyAlignment="1">
      <alignment horizontal="left" vertical="center" wrapText="1" indent="1" readingOrder="1"/>
    </xf>
    <xf numFmtId="181" fontId="1" fillId="2" borderId="1" xfId="17" applyNumberFormat="1" applyAlignment="1">
      <alignment horizontal="left" vertical="center" wrapText="1" indent="1" readingOrder="1"/>
    </xf>
    <xf numFmtId="180" fontId="1" fillId="2" borderId="1" xfId="17" applyNumberFormat="1" applyAlignment="1">
      <alignment horizontal="left" vertical="center" wrapText="1" indent="1" readingOrder="1"/>
    </xf>
    <xf numFmtId="0" fontId="2" fillId="0" borderId="0" xfId="0" applyFont="1"/>
    <xf numFmtId="0" fontId="1" fillId="2" borderId="1" xfId="17"/>
    <xf numFmtId="180" fontId="1" fillId="2" borderId="1" xfId="17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C1" sqref="C$1:C$1048576"/>
    </sheetView>
  </sheetViews>
  <sheetFormatPr defaultColWidth="9" defaultRowHeight="14.4" outlineLevelRow="5" outlineLevelCol="6"/>
  <cols>
    <col min="1" max="1" width="10.5555555555556" customWidth="1"/>
    <col min="2" max="3" width="18.3333333333333" style="1" customWidth="1"/>
    <col min="4" max="5" width="10.7777777777778" customWidth="1"/>
    <col min="6" max="6" width="10.2222222222222" customWidth="1"/>
    <col min="7" max="7" width="10.7777777777778" customWidth="1"/>
  </cols>
  <sheetData>
    <row r="1" spans="1:7">
      <c r="A1" s="6" t="s">
        <v>0</v>
      </c>
      <c r="B1" s="7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>
      <c r="A2" s="6" t="s">
        <v>7</v>
      </c>
      <c r="B2" s="7">
        <v>45616.4375</v>
      </c>
      <c r="C2" s="7">
        <v>45616.4895833333</v>
      </c>
      <c r="D2" s="6" t="s">
        <v>8</v>
      </c>
      <c r="E2" s="6" t="s">
        <v>9</v>
      </c>
      <c r="F2" s="6">
        <f>IF(INT(B2)=INT(C2),1,0)</f>
        <v>1</v>
      </c>
      <c r="G2" s="6">
        <f>IF(AND(INT(B2)=INT(C2),HOUR(B2)=HOUR(C2)),1,0)</f>
        <v>0</v>
      </c>
    </row>
    <row r="3" spans="1:7">
      <c r="A3" s="6" t="s">
        <v>10</v>
      </c>
      <c r="B3" s="7">
        <v>45617.625</v>
      </c>
      <c r="C3" s="7">
        <v>45617.625</v>
      </c>
      <c r="D3" s="6" t="s">
        <v>11</v>
      </c>
      <c r="E3" s="6" t="s">
        <v>12</v>
      </c>
      <c r="F3" s="6">
        <f t="shared" ref="F3:F6" si="0">IF(INT(B3)=INT(C3),1,0)</f>
        <v>1</v>
      </c>
      <c r="G3" s="6">
        <f t="shared" ref="G3:G6" si="1">IF(AND(INT(B3)=INT(C3),HOUR(B3)=HOUR(C3)),1,0)</f>
        <v>1</v>
      </c>
    </row>
    <row r="4" ht="29.4" customHeight="1" spans="1:7">
      <c r="A4" s="6" t="s">
        <v>13</v>
      </c>
      <c r="B4" s="7">
        <v>45617.3854166667</v>
      </c>
      <c r="C4" s="7">
        <v>45618.4375</v>
      </c>
      <c r="D4" s="6" t="s">
        <v>8</v>
      </c>
      <c r="E4" s="6" t="s">
        <v>14</v>
      </c>
      <c r="F4" s="6">
        <f t="shared" si="0"/>
        <v>0</v>
      </c>
      <c r="G4" s="6">
        <f t="shared" si="1"/>
        <v>0</v>
      </c>
    </row>
    <row r="5" spans="1:7">
      <c r="A5" s="6" t="s">
        <v>15</v>
      </c>
      <c r="B5" s="7">
        <v>45627.5833333333</v>
      </c>
      <c r="C5" s="7">
        <v>45627.59375</v>
      </c>
      <c r="D5" s="6" t="s">
        <v>16</v>
      </c>
      <c r="E5" s="6" t="s">
        <v>17</v>
      </c>
      <c r="F5" s="6">
        <f t="shared" si="0"/>
        <v>1</v>
      </c>
      <c r="G5" s="6">
        <f t="shared" si="1"/>
        <v>1</v>
      </c>
    </row>
    <row r="6" spans="1:7">
      <c r="A6" s="6" t="s">
        <v>18</v>
      </c>
      <c r="B6" s="7">
        <v>45627.6666666667</v>
      </c>
      <c r="C6" s="7">
        <v>45628.4166666667</v>
      </c>
      <c r="D6" s="6" t="s">
        <v>11</v>
      </c>
      <c r="E6" s="6" t="s">
        <v>19</v>
      </c>
      <c r="F6" s="6">
        <f t="shared" si="0"/>
        <v>0</v>
      </c>
      <c r="G6" s="6">
        <f t="shared" si="1"/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D4" sqref="D4"/>
    </sheetView>
  </sheetViews>
  <sheetFormatPr defaultColWidth="9" defaultRowHeight="14.4" outlineLevelRow="3" outlineLevelCol="5"/>
  <cols>
    <col min="1" max="1" width="11.5555555555556" customWidth="1"/>
    <col min="2" max="2" width="18.3333333333333" customWidth="1"/>
    <col min="3" max="3" width="18.1111111111111" customWidth="1"/>
    <col min="4" max="4" width="20.4444444444444" style="1" customWidth="1"/>
    <col min="5" max="5" width="10.2222222222222" customWidth="1"/>
    <col min="6" max="6" width="11.1111111111111" customWidth="1"/>
  </cols>
  <sheetData>
    <row r="1" spans="1:6">
      <c r="A1" s="2" t="s">
        <v>4</v>
      </c>
      <c r="B1" s="3" t="s">
        <v>20</v>
      </c>
      <c r="C1" s="2" t="s">
        <v>21</v>
      </c>
      <c r="D1" s="4" t="s">
        <v>22</v>
      </c>
      <c r="E1" s="5"/>
      <c r="F1" s="5"/>
    </row>
    <row r="2" spans="1:4">
      <c r="A2" s="2" t="s">
        <v>9</v>
      </c>
      <c r="B2" s="4">
        <v>45616.5416666667</v>
      </c>
      <c r="C2" s="2">
        <v>5</v>
      </c>
      <c r="D2" s="4">
        <f>INDEX(ticket!B:B,MATCH(A2,ticket!E:E,0))</f>
        <v>45616.4375</v>
      </c>
    </row>
    <row r="3" spans="1:4">
      <c r="A3" s="2" t="s">
        <v>14</v>
      </c>
      <c r="B3" s="4">
        <v>45618.4583333333</v>
      </c>
      <c r="C3" s="2">
        <v>3</v>
      </c>
      <c r="D3" s="4">
        <f>INDEX(ticket!B:B,MATCH(A3,ticket!E:E,0))</f>
        <v>45617.3854166667</v>
      </c>
    </row>
    <row r="4" spans="1:4">
      <c r="A4" s="2" t="s">
        <v>17</v>
      </c>
      <c r="B4" s="4">
        <v>45627.625</v>
      </c>
      <c r="C4" s="2">
        <v>4</v>
      </c>
      <c r="D4" s="4">
        <f>INDEX(ticket!B:B,MATCH(A4,ticket!E:E,0))</f>
        <v>45627.5833333333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home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ticket</vt:lpstr>
      <vt:lpstr>feedbacks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Windows</cp:lastModifiedBy>
  <dcterms:created xsi:type="dcterms:W3CDTF">2025-12-02T18:49:00Z</dcterms:created>
  <dcterms:modified xsi:type="dcterms:W3CDTF">2025-12-02T19:35:56Z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E78CB061BF3640A89777D9E19BDB6652_13</vt:lpwstr>
  </property>
  <property fmtid="{D5CDD505-2E9C-101B-9397-08002B2CF9AE}" pid="3" name="KSOProductBuildVer">
    <vt:lpwstr>1033-12.2.0.23155</vt:lpwstr>
  </property>
</Properties>
</file>